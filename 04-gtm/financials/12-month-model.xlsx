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B3ED0618-FF1E-49DF-9768-19AD4A88C57C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inputs" sheetId="1" r:id="rId1"/>
    <sheet name="projections" sheetId="2" r:id="rId2"/>
    <sheet name="cha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2" l="1"/>
  <c r="C5" i="2"/>
  <c r="D5" i="2"/>
  <c r="E5" i="2"/>
  <c r="F5" i="2"/>
  <c r="G5" i="2"/>
  <c r="H5" i="2"/>
  <c r="I5" i="2"/>
  <c r="B6" i="2"/>
  <c r="C6" i="2"/>
  <c r="D6" i="2"/>
  <c r="E6" i="2"/>
  <c r="F6" i="2"/>
  <c r="G6" i="2"/>
  <c r="H6" i="2"/>
  <c r="I6" i="2"/>
  <c r="B7" i="2"/>
  <c r="C7" i="2"/>
  <c r="D7" i="2"/>
  <c r="E7" i="2"/>
  <c r="F7" i="2"/>
  <c r="G7" i="2"/>
  <c r="H7" i="2"/>
  <c r="I7" i="2"/>
  <c r="B8" i="2"/>
  <c r="C8" i="2"/>
  <c r="D8" i="2"/>
  <c r="E8" i="2"/>
  <c r="F8" i="2"/>
  <c r="G8" i="2"/>
  <c r="H8" i="2"/>
  <c r="I8" i="2"/>
  <c r="I4" i="2"/>
  <c r="H4" i="2"/>
  <c r="G4" i="2"/>
  <c r="F4" i="2"/>
  <c r="E4" i="2"/>
  <c r="D4" i="2"/>
  <c r="C4" i="2"/>
  <c r="B4" i="2"/>
  <c r="I3" i="2"/>
  <c r="H3" i="2"/>
  <c r="F3" i="2"/>
  <c r="E3" i="2"/>
  <c r="D3" i="2"/>
  <c r="C3" i="2"/>
  <c r="B3" i="2"/>
  <c r="E6" i="1"/>
  <c r="E7" i="1"/>
  <c r="E8" i="1"/>
  <c r="E9" i="1"/>
  <c r="E10" i="1"/>
  <c r="E11" i="1"/>
  <c r="E12" i="1"/>
  <c r="E13" i="1"/>
  <c r="E14" i="1"/>
  <c r="E5" i="1"/>
</calcChain>
</file>

<file path=xl/sharedStrings.xml><?xml version="1.0" encoding="utf-8"?>
<sst xmlns="http://schemas.openxmlformats.org/spreadsheetml/2006/main" count="60" uniqueCount="36">
  <si>
    <t>All yellow cells are assumptions. Change these to switch scenarios</t>
  </si>
  <si>
    <t>Expected</t>
  </si>
  <si>
    <t>Best</t>
  </si>
  <si>
    <t>Worst</t>
  </si>
  <si>
    <t>ACTIVE</t>
  </si>
  <si>
    <t>Ch1 visitors/month</t>
  </si>
  <si>
    <t>Ch1 signup conversion %</t>
  </si>
  <si>
    <t>Ch2 visitors/month</t>
  </si>
  <si>
    <t>Ch2 signup conversion %</t>
  </si>
  <si>
    <t>Ch3 visitors/month</t>
  </si>
  <si>
    <t>Ch3 signup conversion %</t>
  </si>
  <si>
    <t>Activation rate</t>
  </si>
  <si>
    <t>D30 retention rate</t>
  </si>
  <si>
    <t xml:space="preserve"> Monthly organic growth</t>
  </si>
  <si>
    <t>Monthly cohort model. Rows = months. All values driven by Inputs tab</t>
  </si>
  <si>
    <t>Month</t>
  </si>
  <si>
    <t>Ch1 Signups</t>
  </si>
  <si>
    <t>Ch2 Signups</t>
  </si>
  <si>
    <t>Ch3 Signups</t>
  </si>
  <si>
    <t>Total New Signups</t>
  </si>
  <si>
    <t>Activated Users (new)</t>
  </si>
  <si>
    <t>Retained from Prior Month</t>
  </si>
  <si>
    <t>Total Active Users</t>
  </si>
  <si>
    <t>Cumulative Users</t>
  </si>
  <si>
    <t>Ch1 CAC</t>
  </si>
  <si>
    <t>Ch2 CAC</t>
  </si>
  <si>
    <t>Ch3 CAC</t>
  </si>
  <si>
    <t>Blended CAC</t>
  </si>
  <si>
    <t>May</t>
  </si>
  <si>
    <t>$0</t>
  </si>
  <si>
    <t>Jun</t>
  </si>
  <si>
    <t>Jul</t>
  </si>
  <si>
    <t>Aug</t>
  </si>
  <si>
    <t>Sep</t>
  </si>
  <si>
    <t>Oct</t>
  </si>
  <si>
    <t>If Ch2 signup conversion halves (22% → 11%): Month 6 cumulative drops from ~558 to ~430 users (−23%).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</si>
</sst>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Sylfaen"/>
      <family val="2"/>
      <scheme val="minor"/>
    </font>
    <font>
      <sz val="11"/>
      <color rgb="FF000000"/>
      <name val="DM Mono"/>
    </font>
    <font>
      <sz val="11"/>
      <color rgb="FF000000"/>
      <name val="Sylfaen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wrapText="1"/>
    </xf>
    <xf numFmtId="9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0" fillId="3" borderId="0" xfId="0" applyFill="1"/>
  </cellXfs>
  <cellStyles count="1">
    <cellStyle name="ჩვეულებრივი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a-G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KIU Sports Tracker — Cumulative Active Users (6 months, Expected Case)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projections!$I$2</c:f>
              <c:strCache>
                <c:ptCount val="1"/>
                <c:pt idx="0">
                  <c:v>Cumulative Users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projections!$A$3:$A$8</c:f>
              <c:strCache>
                <c:ptCount val="6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</c:strCache>
            </c:strRef>
          </c:cat>
          <c:val>
            <c:numRef>
              <c:f>projections!$I$3:$I$8</c:f>
              <c:numCache>
                <c:formatCode>General</c:formatCode>
                <c:ptCount val="6"/>
                <c:pt idx="0">
                  <c:v>93.899999999999991</c:v>
                </c:pt>
                <c:pt idx="1">
                  <c:v>192.49499999999998</c:v>
                </c:pt>
                <c:pt idx="2">
                  <c:v>296.01974999999999</c:v>
                </c:pt>
                <c:pt idx="3">
                  <c:v>404.72073749999998</c:v>
                </c:pt>
                <c:pt idx="4">
                  <c:v>518.85677437499999</c:v>
                </c:pt>
                <c:pt idx="5">
                  <c:v>638.69961309375003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B-4C19-84FF-633A8B3AB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6061448"/>
        <c:axId val="2096079880"/>
      </c:barChart>
      <c:catAx>
        <c:axId val="209606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079880"/>
        <c:crosses val="autoZero"/>
        <c:auto val="1"/>
        <c:lblAlgn val="ctr"/>
        <c:lblOffset val="100"/>
        <c:noMultiLvlLbl val="0"/>
      </c:catAx>
      <c:valAx>
        <c:axId val="2096079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061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457200</xdr:colOff>
      <xdr:row>14</xdr:row>
      <xdr:rowOff>76200</xdr:rowOff>
    </xdr:to>
    <xdr:graphicFrame macro="">
      <xdr:nvGraphicFramePr>
        <xdr:cNvPr id="2" name="დიაგრამა 1">
          <a:extLst>
            <a:ext uri="{FF2B5EF4-FFF2-40B4-BE49-F238E27FC236}">
              <a16:creationId xmlns:a16="http://schemas.microsoft.com/office/drawing/2014/main" id="{0D2006C5-096C-4846-96C3-5D0358E6B9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E15" sqref="E15"/>
    </sheetView>
  </sheetViews>
  <sheetFormatPr defaultRowHeight="15"/>
  <cols>
    <col min="1" max="1" width="36" bestFit="1" customWidth="1"/>
    <col min="5" max="5" width="36" bestFit="1" customWidth="1"/>
  </cols>
  <sheetData>
    <row r="1" spans="1:5" ht="46.5">
      <c r="A1" s="1" t="s">
        <v>0</v>
      </c>
    </row>
    <row r="3" spans="1:5">
      <c r="B3" t="s">
        <v>1</v>
      </c>
    </row>
    <row r="4" spans="1:5">
      <c r="B4" t="s">
        <v>1</v>
      </c>
      <c r="C4" t="s">
        <v>2</v>
      </c>
      <c r="D4" t="s">
        <v>3</v>
      </c>
      <c r="E4" t="s">
        <v>4</v>
      </c>
    </row>
    <row r="5" spans="1:5" ht="31.5">
      <c r="A5" t="s">
        <v>5</v>
      </c>
      <c r="B5">
        <v>100</v>
      </c>
      <c r="C5">
        <v>150</v>
      </c>
      <c r="D5">
        <v>60</v>
      </c>
      <c r="E5" s="4">
        <f>IF($B$3="Best", C5, IF($B$3="Worst", D5, B5))</f>
        <v>100</v>
      </c>
    </row>
    <row r="6" spans="1:5">
      <c r="A6" t="s">
        <v>6</v>
      </c>
      <c r="B6" s="2">
        <v>0.8</v>
      </c>
      <c r="C6" s="2">
        <v>0.9</v>
      </c>
      <c r="D6" s="2">
        <v>0.6</v>
      </c>
      <c r="E6" s="4">
        <f t="shared" ref="E6:E14" si="0">IF($B$3="Best", C6, IF($B$3="Worst", D6, B6))</f>
        <v>0.8</v>
      </c>
    </row>
    <row r="7" spans="1:5">
      <c r="A7" t="s">
        <v>7</v>
      </c>
      <c r="B7">
        <v>200</v>
      </c>
      <c r="C7">
        <v>300</v>
      </c>
      <c r="D7">
        <v>100</v>
      </c>
      <c r="E7" s="4">
        <f t="shared" si="0"/>
        <v>200</v>
      </c>
    </row>
    <row r="8" spans="1:5">
      <c r="A8" t="s">
        <v>8</v>
      </c>
      <c r="B8" s="2">
        <v>0.22</v>
      </c>
      <c r="C8" s="2">
        <v>0.3</v>
      </c>
      <c r="D8" s="2">
        <v>0.12</v>
      </c>
      <c r="E8" s="4">
        <f t="shared" si="0"/>
        <v>0.22</v>
      </c>
    </row>
    <row r="9" spans="1:5">
      <c r="A9" t="s">
        <v>9</v>
      </c>
      <c r="B9">
        <v>50</v>
      </c>
      <c r="C9">
        <v>80</v>
      </c>
      <c r="D9">
        <v>25</v>
      </c>
      <c r="E9" s="4">
        <f t="shared" si="0"/>
        <v>50</v>
      </c>
    </row>
    <row r="10" spans="1:5">
      <c r="A10" t="s">
        <v>10</v>
      </c>
      <c r="B10" s="2">
        <v>0.65</v>
      </c>
      <c r="C10" s="2">
        <v>0.75</v>
      </c>
      <c r="D10" s="2">
        <v>0.45</v>
      </c>
      <c r="E10" s="4">
        <f t="shared" si="0"/>
        <v>0.65</v>
      </c>
    </row>
    <row r="11" spans="1:5">
      <c r="B11" s="2"/>
      <c r="E11" s="4">
        <f t="shared" si="0"/>
        <v>0</v>
      </c>
    </row>
    <row r="12" spans="1:5">
      <c r="A12" t="s">
        <v>11</v>
      </c>
      <c r="B12" s="2">
        <v>0.6</v>
      </c>
      <c r="C12" s="2">
        <v>0.75</v>
      </c>
      <c r="D12" s="2">
        <v>0.4</v>
      </c>
      <c r="E12" s="4">
        <f t="shared" si="0"/>
        <v>0.6</v>
      </c>
    </row>
    <row r="13" spans="1:5">
      <c r="A13" t="s">
        <v>12</v>
      </c>
      <c r="B13" s="2">
        <v>0.45</v>
      </c>
      <c r="C13" s="2">
        <v>0.6</v>
      </c>
      <c r="D13" s="2">
        <v>0.25</v>
      </c>
      <c r="E13" s="4">
        <f t="shared" si="0"/>
        <v>0.45</v>
      </c>
    </row>
    <row r="14" spans="1:5">
      <c r="A14" t="s">
        <v>13</v>
      </c>
      <c r="B14" s="2">
        <v>0.05</v>
      </c>
      <c r="C14" s="2">
        <v>0.1</v>
      </c>
      <c r="D14" s="2">
        <v>0.02</v>
      </c>
      <c r="E14" s="4">
        <f t="shared" si="0"/>
        <v>0.05</v>
      </c>
    </row>
  </sheetData>
  <dataValidations count="1">
    <dataValidation type="list" allowBlank="1" showInputMessage="1" showErrorMessage="1" sqref="B3" xr:uid="{E36F405D-542E-434F-8886-F060EAAD9FFA}">
      <formula1>"Expected, Best, Worst"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FC49-D07E-4E78-8C89-7DB2AC813031}">
  <dimension ref="A1:M10"/>
  <sheetViews>
    <sheetView tabSelected="1" workbookViewId="0">
      <selection activeCell="O10" sqref="O10"/>
    </sheetView>
  </sheetViews>
  <sheetFormatPr defaultRowHeight="15"/>
  <cols>
    <col min="1" max="1" width="36" bestFit="1" customWidth="1"/>
    <col min="2" max="4" width="10.5" bestFit="1" customWidth="1"/>
    <col min="5" max="5" width="15.5" bestFit="1" customWidth="1"/>
    <col min="6" max="6" width="18.125" bestFit="1" customWidth="1"/>
    <col min="7" max="7" width="22.375" bestFit="1" customWidth="1"/>
    <col min="8" max="8" width="15.125" bestFit="1" customWidth="1"/>
    <col min="9" max="9" width="14.625" bestFit="1" customWidth="1"/>
    <col min="13" max="13" width="11.375" bestFit="1" customWidth="1"/>
  </cols>
  <sheetData>
    <row r="1" spans="1:13" ht="46.5">
      <c r="A1" s="5" t="s">
        <v>14</v>
      </c>
    </row>
    <row r="2" spans="1:13">
      <c r="A2" s="7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</row>
    <row r="3" spans="1:13">
      <c r="A3" s="7" t="s">
        <v>28</v>
      </c>
      <c r="B3">
        <f>inputs!$E$5 * inputs!$E$6</f>
        <v>80</v>
      </c>
      <c r="C3">
        <f>inputs!$E$7 * inputs!$E$8</f>
        <v>44</v>
      </c>
      <c r="D3">
        <f>inputs!$E$9 * inputs!$E$10</f>
        <v>32.5</v>
      </c>
      <c r="E3">
        <f>B3+C3+D3</f>
        <v>156.5</v>
      </c>
      <c r="F3">
        <f>E3 * inputs!$E$12</f>
        <v>93.899999999999991</v>
      </c>
      <c r="G3">
        <v>0</v>
      </c>
      <c r="H3">
        <f>F3+G3</f>
        <v>93.899999999999991</v>
      </c>
      <c r="I3">
        <f>H3</f>
        <v>93.899999999999991</v>
      </c>
      <c r="J3" t="s">
        <v>29</v>
      </c>
      <c r="K3" t="s">
        <v>29</v>
      </c>
      <c r="L3" t="s">
        <v>29</v>
      </c>
      <c r="M3" t="s">
        <v>29</v>
      </c>
    </row>
    <row r="4" spans="1:13">
      <c r="A4" s="7" t="s">
        <v>30</v>
      </c>
      <c r="B4">
        <f>B3 * (1 + inputs!$E$14)</f>
        <v>84</v>
      </c>
      <c r="C4">
        <f>C3 * (1 + inputs!$E$14)</f>
        <v>46.2</v>
      </c>
      <c r="D4">
        <f>D3 * (1 + inputs!$E$14)</f>
        <v>34.125</v>
      </c>
      <c r="E4">
        <f>B4+C4+D4</f>
        <v>164.32499999999999</v>
      </c>
      <c r="F4">
        <f>E4 * inputs!$E$12</f>
        <v>98.594999999999985</v>
      </c>
      <c r="G4">
        <f>H3 * inputs!$E$13</f>
        <v>42.254999999999995</v>
      </c>
      <c r="H4">
        <f>F4+G4</f>
        <v>140.84999999999997</v>
      </c>
      <c r="I4">
        <f>I3+F4</f>
        <v>192.49499999999998</v>
      </c>
      <c r="J4" s="6" t="s">
        <v>29</v>
      </c>
      <c r="K4" s="6" t="s">
        <v>29</v>
      </c>
      <c r="L4" s="6" t="s">
        <v>29</v>
      </c>
      <c r="M4" s="6" t="s">
        <v>29</v>
      </c>
    </row>
    <row r="5" spans="1:13">
      <c r="A5" s="7" t="s">
        <v>31</v>
      </c>
      <c r="B5">
        <f>B4 * (1 + inputs!$E$14)</f>
        <v>88.2</v>
      </c>
      <c r="C5">
        <f>C4 * (1 + inputs!$E$14)</f>
        <v>48.510000000000005</v>
      </c>
      <c r="D5">
        <f>D4 * (1 + inputs!$E$14)</f>
        <v>35.831250000000004</v>
      </c>
      <c r="E5">
        <f t="shared" ref="E5:E8" si="0">B5+C5+D5</f>
        <v>172.54125000000002</v>
      </c>
      <c r="F5">
        <f>E5 * inputs!$E$12</f>
        <v>103.52475000000001</v>
      </c>
      <c r="G5">
        <f>H4 * inputs!$E$13</f>
        <v>63.382499999999986</v>
      </c>
      <c r="H5">
        <f t="shared" ref="H5:H8" si="1">F5+G5</f>
        <v>166.90725</v>
      </c>
      <c r="I5">
        <f t="shared" ref="I5:I8" si="2">I4+F5</f>
        <v>296.01974999999999</v>
      </c>
      <c r="J5" s="6" t="s">
        <v>29</v>
      </c>
      <c r="K5" s="6" t="s">
        <v>29</v>
      </c>
      <c r="L5" s="6" t="s">
        <v>29</v>
      </c>
      <c r="M5" s="6" t="s">
        <v>29</v>
      </c>
    </row>
    <row r="6" spans="1:13">
      <c r="A6" s="7" t="s">
        <v>32</v>
      </c>
      <c r="B6">
        <f>B5 * (1 + inputs!$E$14)</f>
        <v>92.610000000000014</v>
      </c>
      <c r="C6">
        <f>C5 * (1 + inputs!$E$14)</f>
        <v>50.935500000000005</v>
      </c>
      <c r="D6">
        <f>D5 * (1 + inputs!$E$14)</f>
        <v>37.622812500000009</v>
      </c>
      <c r="E6">
        <f t="shared" si="0"/>
        <v>181.16831250000001</v>
      </c>
      <c r="F6">
        <f>E6 * inputs!$E$12</f>
        <v>108.70098750000001</v>
      </c>
      <c r="G6">
        <f>H5 * inputs!$E$13</f>
        <v>75.108262500000009</v>
      </c>
      <c r="H6">
        <f t="shared" si="1"/>
        <v>183.80925000000002</v>
      </c>
      <c r="I6">
        <f t="shared" si="2"/>
        <v>404.72073749999998</v>
      </c>
      <c r="J6" s="6" t="s">
        <v>29</v>
      </c>
      <c r="K6" s="6" t="s">
        <v>29</v>
      </c>
      <c r="L6" s="6" t="s">
        <v>29</v>
      </c>
      <c r="M6" s="6" t="s">
        <v>29</v>
      </c>
    </row>
    <row r="7" spans="1:13">
      <c r="A7" s="7" t="s">
        <v>33</v>
      </c>
      <c r="B7">
        <f>B6 * (1 + inputs!$E$14)</f>
        <v>97.240500000000011</v>
      </c>
      <c r="C7">
        <f>C6 * (1 + inputs!$E$14)</f>
        <v>53.482275000000008</v>
      </c>
      <c r="D7">
        <f>D6 * (1 + inputs!$E$14)</f>
        <v>39.50395312500001</v>
      </c>
      <c r="E7">
        <f t="shared" si="0"/>
        <v>190.22672812500002</v>
      </c>
      <c r="F7">
        <f>E7 * inputs!$E$12</f>
        <v>114.13603687500002</v>
      </c>
      <c r="G7">
        <f>H6 * inputs!$E$13</f>
        <v>82.714162500000015</v>
      </c>
      <c r="H7">
        <f t="shared" si="1"/>
        <v>196.85019937500005</v>
      </c>
      <c r="I7">
        <f t="shared" si="2"/>
        <v>518.85677437499999</v>
      </c>
      <c r="J7" s="6" t="s">
        <v>29</v>
      </c>
      <c r="K7" s="6" t="s">
        <v>29</v>
      </c>
      <c r="L7" s="6" t="s">
        <v>29</v>
      </c>
      <c r="M7" s="6" t="s">
        <v>29</v>
      </c>
    </row>
    <row r="8" spans="1:13">
      <c r="A8" s="7" t="s">
        <v>34</v>
      </c>
      <c r="B8">
        <f>B7 * (1 + inputs!$E$14)</f>
        <v>102.10252500000001</v>
      </c>
      <c r="C8">
        <f>C7 * (1 + inputs!$E$14)</f>
        <v>56.156388750000012</v>
      </c>
      <c r="D8">
        <f>D7 * (1 + inputs!$E$14)</f>
        <v>41.479150781250013</v>
      </c>
      <c r="E8">
        <f t="shared" si="0"/>
        <v>199.73806453125005</v>
      </c>
      <c r="F8">
        <f>E8 * inputs!$E$12</f>
        <v>119.84283871875002</v>
      </c>
      <c r="G8">
        <f>H7 * inputs!$E$13</f>
        <v>88.582589718750029</v>
      </c>
      <c r="H8">
        <f t="shared" si="1"/>
        <v>208.42542843750005</v>
      </c>
      <c r="I8">
        <f t="shared" si="2"/>
        <v>638.69961309375003</v>
      </c>
      <c r="J8" s="6" t="s">
        <v>29</v>
      </c>
      <c r="K8" s="6" t="s">
        <v>29</v>
      </c>
      <c r="L8" s="6" t="s">
        <v>29</v>
      </c>
      <c r="M8" s="6" t="s">
        <v>29</v>
      </c>
    </row>
    <row r="10" spans="1:13" ht="47.25">
      <c r="A10" s="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5C136-5769-4243-91BB-661516020786}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2026-05-13T19:01:43Z</dcterms:created>
  <dcterms:modified xsi:type="dcterms:W3CDTF">2026-05-13T19:46:30Z</dcterms:modified>
  <cp:category/>
  <cp:contentStatus/>
</cp:coreProperties>
</file>